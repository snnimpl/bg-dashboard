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lsysinc-my.sharepoint.com/personal/sathya_nadsar_impelsys_com/Documents/WorkingFolder/TS PMO/GM Reviews 2026/"/>
    </mc:Choice>
  </mc:AlternateContent>
  <xr:revisionPtr revIDLastSave="173" documentId="8_{5BD77922-9ECE-4692-929B-B321EB81AF81}" xr6:coauthVersionLast="47" xr6:coauthVersionMax="47" xr10:uidLastSave="{CC61ADBE-1F27-45CD-A8CD-CEE20C782904}"/>
  <bookViews>
    <workbookView xWindow="-110" yWindow="-110" windowWidth="19420" windowHeight="11500" xr2:uid="{B76E7419-E723-4A17-8DE1-7CA936D861F7}"/>
  </bookViews>
  <sheets>
    <sheet name="Sheet2" sheetId="2" r:id="rId1"/>
  </sheets>
  <definedNames>
    <definedName name="_xlnm._FilterDatabase" localSheetId="0" hidden="1">Sheet2!$A$1:$H$66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2" i="2"/>
</calcChain>
</file>

<file path=xl/sharedStrings.xml><?xml version="1.0" encoding="utf-8"?>
<sst xmlns="http://schemas.openxmlformats.org/spreadsheetml/2006/main" count="268" uniqueCount="38">
  <si>
    <t>Month</t>
  </si>
  <si>
    <t xml:space="preserve"> Billed Vaue ($)</t>
  </si>
  <si>
    <t xml:space="preserve"> Direct Cost</t>
  </si>
  <si>
    <t xml:space="preserve"> Gross Profit</t>
  </si>
  <si>
    <t xml:space="preserve"> GM%</t>
  </si>
  <si>
    <t>Wkh</t>
  </si>
  <si>
    <t>Inf</t>
  </si>
  <si>
    <t>Sgp</t>
  </si>
  <si>
    <t>Wkgbs</t>
  </si>
  <si>
    <t>Prg Sw</t>
  </si>
  <si>
    <t>Via Char</t>
  </si>
  <si>
    <t>Mark</t>
  </si>
  <si>
    <t>CCC</t>
  </si>
  <si>
    <t>AAP</t>
  </si>
  <si>
    <t>NCU</t>
  </si>
  <si>
    <t>NagAC</t>
  </si>
  <si>
    <t>AGS</t>
  </si>
  <si>
    <t>BPL</t>
  </si>
  <si>
    <t>MG</t>
  </si>
  <si>
    <t>ASCO</t>
  </si>
  <si>
    <t>RCNL</t>
  </si>
  <si>
    <t>ASPPA</t>
  </si>
  <si>
    <t>TevP</t>
  </si>
  <si>
    <t>SprL</t>
  </si>
  <si>
    <t>Hpe</t>
  </si>
  <si>
    <t>Onys</t>
  </si>
  <si>
    <t>CarrT</t>
  </si>
  <si>
    <t>Jan'26</t>
  </si>
  <si>
    <t>Account</t>
  </si>
  <si>
    <t>Feb'26</t>
  </si>
  <si>
    <t>Mar'26</t>
  </si>
  <si>
    <t>Quarter</t>
  </si>
  <si>
    <t>Geo</t>
  </si>
  <si>
    <t>Q1'26</t>
  </si>
  <si>
    <t>US</t>
  </si>
  <si>
    <t>EU</t>
  </si>
  <si>
    <t>AMEA</t>
  </si>
  <si>
    <t>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</si>
</sst>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9A80-3BEE-49A4-BC6D-8FBE87EC3E1E}">
  <dimension ref="A1:H66"/>
  <sheetViews>
    <sheetView tabSelected="1" workbookViewId="0">
      <selection activeCell="I12" sqref="I12"/>
    </sheetView>
  </sheetViews>
  <sheetFormatPr defaultRowHeight="13" x14ac:dyDescent="0.3"/>
  <cols>
    <col min="1" max="1" width="5.7265625" style="1" bestFit="1" customWidth="1"/>
    <col min="2" max="2" width="6.6328125" style="1" bestFit="1" customWidth="1"/>
    <col min="3" max="3" width="5.7265625" style="1" customWidth="1"/>
    <col min="4" max="4" width="7.08984375" style="1" bestFit="1" customWidth="1"/>
    <col min="5" max="5" width="12" style="1" bestFit="1" customWidth="1"/>
    <col min="6" max="6" width="9.6328125" style="1" bestFit="1" customWidth="1"/>
    <col min="7" max="7" width="10" style="1" bestFit="1" customWidth="1"/>
    <col min="8" max="8" width="5.90625" style="1" bestFit="1" customWidth="1"/>
    <col min="9" max="16384" width="8.7265625" style="1"/>
  </cols>
  <sheetData>
    <row r="1" spans="1:8" x14ac:dyDescent="0.3">
      <c r="A1" s="2" t="s">
        <v>0</v>
      </c>
      <c r="B1" s="2" t="s">
        <v>31</v>
      </c>
      <c r="C1" s="2" t="s">
        <v>32</v>
      </c>
      <c r="D1" s="2" t="s">
        <v>28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">
      <c r="A2" s="7" t="s">
        <v>27</v>
      </c>
      <c r="B2" s="7" t="s">
        <v>33</v>
      </c>
      <c r="C2" s="7" t="s">
        <v>34</v>
      </c>
      <c r="D2" s="4" t="s">
        <v>5</v>
      </c>
      <c r="E2" s="5">
        <v>441124</v>
      </c>
      <c r="F2" s="5">
        <v>205060.18400939132</v>
      </c>
      <c r="G2" s="5">
        <v>236063.81599060868</v>
      </c>
      <c r="H2" s="6">
        <f>G2/E2</f>
        <v>0.53514162908979945</v>
      </c>
    </row>
    <row r="3" spans="1:8" x14ac:dyDescent="0.3">
      <c r="A3" s="7" t="s">
        <v>27</v>
      </c>
      <c r="B3" s="7" t="s">
        <v>33</v>
      </c>
      <c r="C3" s="7" t="s">
        <v>35</v>
      </c>
      <c r="D3" s="4" t="s">
        <v>6</v>
      </c>
      <c r="E3" s="5">
        <v>96323.85328000001</v>
      </c>
      <c r="F3" s="5">
        <v>40991.051876951446</v>
      </c>
      <c r="G3" s="5">
        <v>55332.801403048565</v>
      </c>
      <c r="H3" s="6">
        <f t="shared" ref="H3:H66" si="0">G3/E3</f>
        <v>0.57444547242315802</v>
      </c>
    </row>
    <row r="4" spans="1:8" x14ac:dyDescent="0.3">
      <c r="A4" s="7" t="s">
        <v>27</v>
      </c>
      <c r="B4" s="7" t="s">
        <v>33</v>
      </c>
      <c r="C4" s="7" t="s">
        <v>34</v>
      </c>
      <c r="D4" s="4" t="s">
        <v>8</v>
      </c>
      <c r="E4" s="5">
        <v>67663.975000000006</v>
      </c>
      <c r="F4" s="5">
        <v>43371.91754471184</v>
      </c>
      <c r="G4" s="5">
        <v>24292.057455288166</v>
      </c>
      <c r="H4" s="6">
        <f t="shared" si="0"/>
        <v>0.35901020380916382</v>
      </c>
    </row>
    <row r="5" spans="1:8" x14ac:dyDescent="0.3">
      <c r="A5" s="7" t="s">
        <v>27</v>
      </c>
      <c r="B5" s="7" t="s">
        <v>33</v>
      </c>
      <c r="C5" s="7" t="s">
        <v>36</v>
      </c>
      <c r="D5" s="4" t="s">
        <v>9</v>
      </c>
      <c r="E5" s="5">
        <v>51466.770000000004</v>
      </c>
      <c r="F5" s="5">
        <v>27417.827717935943</v>
      </c>
      <c r="G5" s="5">
        <v>24048.942282064061</v>
      </c>
      <c r="H5" s="6">
        <f t="shared" si="0"/>
        <v>0.46727125642553552</v>
      </c>
    </row>
    <row r="6" spans="1:8" x14ac:dyDescent="0.3">
      <c r="A6" s="7" t="s">
        <v>27</v>
      </c>
      <c r="B6" s="7" t="s">
        <v>33</v>
      </c>
      <c r="C6" s="7" t="s">
        <v>35</v>
      </c>
      <c r="D6" s="4" t="s">
        <v>14</v>
      </c>
      <c r="E6" s="5">
        <v>31744.04</v>
      </c>
      <c r="F6" s="5">
        <v>9263.633020840809</v>
      </c>
      <c r="G6" s="5">
        <v>22480.40697915919</v>
      </c>
      <c r="H6" s="6">
        <f t="shared" si="0"/>
        <v>0.708177250884235</v>
      </c>
    </row>
    <row r="7" spans="1:8" x14ac:dyDescent="0.3">
      <c r="A7" s="7" t="s">
        <v>27</v>
      </c>
      <c r="B7" s="7" t="s">
        <v>33</v>
      </c>
      <c r="C7" s="7" t="s">
        <v>34</v>
      </c>
      <c r="D7" s="4" t="s">
        <v>7</v>
      </c>
      <c r="E7" s="5">
        <v>71417</v>
      </c>
      <c r="F7" s="5">
        <v>55044.322660850681</v>
      </c>
      <c r="G7" s="5">
        <v>16372.677339149319</v>
      </c>
      <c r="H7" s="6">
        <f t="shared" si="0"/>
        <v>0.22925462199685395</v>
      </c>
    </row>
    <row r="8" spans="1:8" x14ac:dyDescent="0.3">
      <c r="A8" s="7" t="s">
        <v>27</v>
      </c>
      <c r="B8" s="7" t="s">
        <v>33</v>
      </c>
      <c r="C8" s="7" t="s">
        <v>34</v>
      </c>
      <c r="D8" s="4" t="s">
        <v>10</v>
      </c>
      <c r="E8" s="5">
        <v>24500</v>
      </c>
      <c r="F8" s="5">
        <v>8790.4447100827128</v>
      </c>
      <c r="G8" s="5">
        <v>15709.555289917287</v>
      </c>
      <c r="H8" s="6">
        <f t="shared" si="0"/>
        <v>0.6412063383639709</v>
      </c>
    </row>
    <row r="9" spans="1:8" x14ac:dyDescent="0.3">
      <c r="A9" s="7" t="s">
        <v>27</v>
      </c>
      <c r="B9" s="7" t="s">
        <v>33</v>
      </c>
      <c r="C9" s="7" t="s">
        <v>34</v>
      </c>
      <c r="D9" s="4" t="s">
        <v>11</v>
      </c>
      <c r="E9" s="5">
        <v>27131.66</v>
      </c>
      <c r="F9" s="5">
        <v>13100.233098564353</v>
      </c>
      <c r="G9" s="5">
        <v>14031.426901435647</v>
      </c>
      <c r="H9" s="6">
        <f t="shared" si="0"/>
        <v>0.51716064927231309</v>
      </c>
    </row>
    <row r="10" spans="1:8" x14ac:dyDescent="0.3">
      <c r="A10" s="7" t="s">
        <v>27</v>
      </c>
      <c r="B10" s="7" t="s">
        <v>33</v>
      </c>
      <c r="C10" s="7" t="s">
        <v>35</v>
      </c>
      <c r="D10" s="4" t="s">
        <v>12</v>
      </c>
      <c r="E10" s="5">
        <v>23588.720000000001</v>
      </c>
      <c r="F10" s="5">
        <v>10141.34723763012</v>
      </c>
      <c r="G10" s="5">
        <v>13447.372762369881</v>
      </c>
      <c r="H10" s="6">
        <f t="shared" si="0"/>
        <v>0.57007640780720115</v>
      </c>
    </row>
    <row r="11" spans="1:8" x14ac:dyDescent="0.3">
      <c r="A11" s="7" t="s">
        <v>27</v>
      </c>
      <c r="B11" s="7" t="s">
        <v>33</v>
      </c>
      <c r="C11" s="7" t="s">
        <v>35</v>
      </c>
      <c r="D11" s="4" t="s">
        <v>13</v>
      </c>
      <c r="E11" s="5">
        <v>14738</v>
      </c>
      <c r="F11" s="5">
        <v>2636.8336761756746</v>
      </c>
      <c r="G11" s="5">
        <v>12101.166323824325</v>
      </c>
      <c r="H11" s="6">
        <f t="shared" si="0"/>
        <v>0.82108605806923096</v>
      </c>
    </row>
    <row r="12" spans="1:8" x14ac:dyDescent="0.3">
      <c r="A12" s="7" t="s">
        <v>27</v>
      </c>
      <c r="B12" s="7" t="s">
        <v>33</v>
      </c>
      <c r="C12" s="7" t="s">
        <v>34</v>
      </c>
      <c r="D12" s="4" t="s">
        <v>15</v>
      </c>
      <c r="E12" s="5">
        <v>22903.75</v>
      </c>
      <c r="F12" s="5">
        <v>13555.141413724165</v>
      </c>
      <c r="G12" s="5">
        <v>9348.6085862758355</v>
      </c>
      <c r="H12" s="6">
        <f t="shared" si="0"/>
        <v>0.40816934284891493</v>
      </c>
    </row>
    <row r="13" spans="1:8" x14ac:dyDescent="0.3">
      <c r="A13" s="7" t="s">
        <v>27</v>
      </c>
      <c r="B13" s="7" t="s">
        <v>33</v>
      </c>
      <c r="C13" s="7" t="s">
        <v>34</v>
      </c>
      <c r="D13" s="4" t="s">
        <v>19</v>
      </c>
      <c r="E13" s="5">
        <v>8060</v>
      </c>
      <c r="F13" s="5">
        <v>1526.6010536959129</v>
      </c>
      <c r="G13" s="5">
        <v>6533.3989463040871</v>
      </c>
      <c r="H13" s="6">
        <f t="shared" si="0"/>
        <v>0.8105954027672565</v>
      </c>
    </row>
    <row r="14" spans="1:8" x14ac:dyDescent="0.3">
      <c r="A14" s="7" t="s">
        <v>27</v>
      </c>
      <c r="B14" s="7" t="s">
        <v>33</v>
      </c>
      <c r="C14" s="7" t="s">
        <v>34</v>
      </c>
      <c r="D14" s="4" t="s">
        <v>16</v>
      </c>
      <c r="E14" s="5">
        <v>8262</v>
      </c>
      <c r="F14" s="5">
        <v>2646.5018685442101</v>
      </c>
      <c r="G14" s="5">
        <v>5615.4981314557899</v>
      </c>
      <c r="H14" s="6">
        <f t="shared" si="0"/>
        <v>0.67967781789588355</v>
      </c>
    </row>
    <row r="15" spans="1:8" x14ac:dyDescent="0.3">
      <c r="A15" s="7" t="s">
        <v>27</v>
      </c>
      <c r="B15" s="7" t="s">
        <v>33</v>
      </c>
      <c r="C15" s="7" t="s">
        <v>36</v>
      </c>
      <c r="D15" s="4" t="s">
        <v>18</v>
      </c>
      <c r="E15" s="5">
        <v>11612.640000000001</v>
      </c>
      <c r="F15" s="5">
        <v>6237.8059847494487</v>
      </c>
      <c r="G15" s="5">
        <v>5374.8340152505525</v>
      </c>
      <c r="H15" s="6">
        <f t="shared" si="0"/>
        <v>0.46284342020854446</v>
      </c>
    </row>
    <row r="16" spans="1:8" x14ac:dyDescent="0.3">
      <c r="A16" s="7" t="s">
        <v>27</v>
      </c>
      <c r="B16" s="7" t="s">
        <v>33</v>
      </c>
      <c r="C16" s="7" t="s">
        <v>35</v>
      </c>
      <c r="D16" s="4" t="s">
        <v>37</v>
      </c>
      <c r="E16" s="5">
        <v>8924</v>
      </c>
      <c r="F16" s="5">
        <v>3753.8536564995584</v>
      </c>
      <c r="G16" s="5">
        <v>5170.1463435004416</v>
      </c>
      <c r="H16" s="6">
        <f t="shared" si="0"/>
        <v>0.57935301921788906</v>
      </c>
    </row>
    <row r="17" spans="1:8" x14ac:dyDescent="0.3">
      <c r="A17" s="7" t="s">
        <v>27</v>
      </c>
      <c r="B17" s="7" t="s">
        <v>33</v>
      </c>
      <c r="C17" s="7" t="s">
        <v>35</v>
      </c>
      <c r="D17" s="4" t="s">
        <v>20</v>
      </c>
      <c r="E17" s="5">
        <v>5405.77</v>
      </c>
      <c r="F17" s="5">
        <v>2773.9221047809833</v>
      </c>
      <c r="G17" s="5">
        <v>2631.8478952190171</v>
      </c>
      <c r="H17" s="6">
        <f t="shared" si="0"/>
        <v>0.48685902197448594</v>
      </c>
    </row>
    <row r="18" spans="1:8" x14ac:dyDescent="0.3">
      <c r="A18" s="7" t="s">
        <v>27</v>
      </c>
      <c r="B18" s="7" t="s">
        <v>33</v>
      </c>
      <c r="C18" s="7" t="s">
        <v>34</v>
      </c>
      <c r="D18" s="4" t="s">
        <v>21</v>
      </c>
      <c r="E18" s="5">
        <v>2231</v>
      </c>
      <c r="F18" s="5">
        <v>525</v>
      </c>
      <c r="G18" s="5">
        <v>1706</v>
      </c>
      <c r="H18" s="6">
        <f t="shared" si="0"/>
        <v>0.764679515912147</v>
      </c>
    </row>
    <row r="19" spans="1:8" x14ac:dyDescent="0.3">
      <c r="A19" s="7" t="s">
        <v>27</v>
      </c>
      <c r="B19" s="7" t="s">
        <v>33</v>
      </c>
      <c r="C19" s="7" t="s">
        <v>35</v>
      </c>
      <c r="D19" s="4" t="s">
        <v>22</v>
      </c>
      <c r="E19" s="5">
        <v>4268.74</v>
      </c>
      <c r="F19" s="5">
        <v>2735.734204436566</v>
      </c>
      <c r="G19" s="5">
        <v>1533.0057955634338</v>
      </c>
      <c r="H19" s="6">
        <f t="shared" si="0"/>
        <v>0.35912372165168971</v>
      </c>
    </row>
    <row r="20" spans="1:8" x14ac:dyDescent="0.3">
      <c r="A20" s="7" t="s">
        <v>27</v>
      </c>
      <c r="B20" s="7" t="s">
        <v>33</v>
      </c>
      <c r="C20" s="7" t="s">
        <v>35</v>
      </c>
      <c r="D20" s="4" t="s">
        <v>23</v>
      </c>
      <c r="E20" s="5">
        <v>2379.09</v>
      </c>
      <c r="F20" s="5">
        <v>1585.8436157308465</v>
      </c>
      <c r="G20" s="5">
        <v>793.24638426915362</v>
      </c>
      <c r="H20" s="6">
        <f t="shared" si="0"/>
        <v>0.33342428586945161</v>
      </c>
    </row>
    <row r="21" spans="1:8" x14ac:dyDescent="0.3">
      <c r="A21" s="7" t="s">
        <v>27</v>
      </c>
      <c r="B21" s="7" t="s">
        <v>33</v>
      </c>
      <c r="C21" s="7" t="s">
        <v>36</v>
      </c>
      <c r="D21" s="4" t="s">
        <v>24</v>
      </c>
      <c r="E21" s="5">
        <v>465.41</v>
      </c>
      <c r="F21" s="5">
        <v>10.489285525867682</v>
      </c>
      <c r="G21" s="5">
        <v>454.92071447413235</v>
      </c>
      <c r="H21" s="6">
        <f t="shared" si="0"/>
        <v>0.9774622686967025</v>
      </c>
    </row>
    <row r="22" spans="1:8" x14ac:dyDescent="0.3">
      <c r="A22" s="7" t="s">
        <v>27</v>
      </c>
      <c r="B22" s="7" t="s">
        <v>33</v>
      </c>
      <c r="C22" s="7" t="s">
        <v>36</v>
      </c>
      <c r="D22" s="4" t="s">
        <v>26</v>
      </c>
      <c r="E22" s="5">
        <v>4887.99</v>
      </c>
      <c r="F22" s="5">
        <v>6938.0940730836255</v>
      </c>
      <c r="G22" s="5">
        <v>-2050.1040730836257</v>
      </c>
      <c r="H22" s="6">
        <f t="shared" si="0"/>
        <v>-0.41941658495283868</v>
      </c>
    </row>
    <row r="23" spans="1:8" x14ac:dyDescent="0.3">
      <c r="A23" s="7" t="s">
        <v>29</v>
      </c>
      <c r="B23" s="7" t="s">
        <v>33</v>
      </c>
      <c r="C23" s="7" t="s">
        <v>34</v>
      </c>
      <c r="D23" s="4" t="s">
        <v>5</v>
      </c>
      <c r="E23" s="5">
        <v>450148</v>
      </c>
      <c r="F23" s="5">
        <v>207021.36057813364</v>
      </c>
      <c r="G23" s="5">
        <v>243126.63942186636</v>
      </c>
      <c r="H23" s="6">
        <f t="shared" si="0"/>
        <v>0.54010378680315441</v>
      </c>
    </row>
    <row r="24" spans="1:8" x14ac:dyDescent="0.3">
      <c r="A24" s="7" t="s">
        <v>29</v>
      </c>
      <c r="B24" s="7" t="s">
        <v>33</v>
      </c>
      <c r="C24" s="7" t="s">
        <v>35</v>
      </c>
      <c r="D24" s="4" t="s">
        <v>6</v>
      </c>
      <c r="E24" s="5">
        <v>131632.94800000003</v>
      </c>
      <c r="F24" s="5">
        <v>53375.839753275723</v>
      </c>
      <c r="G24" s="5">
        <v>78257.10824672431</v>
      </c>
      <c r="H24" s="6">
        <f t="shared" si="0"/>
        <v>0.59451003290395266</v>
      </c>
    </row>
    <row r="25" spans="1:8" x14ac:dyDescent="0.3">
      <c r="A25" s="7" t="s">
        <v>29</v>
      </c>
      <c r="B25" s="7" t="s">
        <v>33</v>
      </c>
      <c r="C25" s="7" t="s">
        <v>36</v>
      </c>
      <c r="D25" s="4" t="s">
        <v>9</v>
      </c>
      <c r="E25" s="5">
        <v>52340.76</v>
      </c>
      <c r="F25" s="5">
        <v>26813.675654433944</v>
      </c>
      <c r="G25" s="5">
        <v>25527.084345566058</v>
      </c>
      <c r="H25" s="6">
        <f t="shared" si="0"/>
        <v>0.48770947050761315</v>
      </c>
    </row>
    <row r="26" spans="1:8" x14ac:dyDescent="0.3">
      <c r="A26" s="7" t="s">
        <v>29</v>
      </c>
      <c r="B26" s="7" t="s">
        <v>33</v>
      </c>
      <c r="C26" s="7" t="s">
        <v>34</v>
      </c>
      <c r="D26" s="4" t="s">
        <v>8</v>
      </c>
      <c r="E26" s="5">
        <v>70111</v>
      </c>
      <c r="F26" s="5">
        <v>45122.168032962472</v>
      </c>
      <c r="G26" s="5">
        <v>24988.831967037528</v>
      </c>
      <c r="H26" s="6">
        <f t="shared" si="0"/>
        <v>0.3564181364841113</v>
      </c>
    </row>
    <row r="27" spans="1:8" x14ac:dyDescent="0.3">
      <c r="A27" s="7" t="s">
        <v>29</v>
      </c>
      <c r="B27" s="7" t="s">
        <v>33</v>
      </c>
      <c r="C27" s="7" t="s">
        <v>34</v>
      </c>
      <c r="D27" s="4" t="s">
        <v>7</v>
      </c>
      <c r="E27" s="5">
        <v>74974.310901749661</v>
      </c>
      <c r="F27" s="5">
        <v>50373.643685042713</v>
      </c>
      <c r="G27" s="5">
        <v>24600.667216706948</v>
      </c>
      <c r="H27" s="6">
        <f t="shared" si="0"/>
        <v>0.32812128475505398</v>
      </c>
    </row>
    <row r="28" spans="1:8" x14ac:dyDescent="0.3">
      <c r="A28" s="7" t="s">
        <v>29</v>
      </c>
      <c r="B28" s="7" t="s">
        <v>33</v>
      </c>
      <c r="C28" s="7" t="s">
        <v>36</v>
      </c>
      <c r="D28" s="4" t="s">
        <v>17</v>
      </c>
      <c r="E28" s="5">
        <v>22380</v>
      </c>
      <c r="F28" s="5">
        <v>5218.1490853437826</v>
      </c>
      <c r="G28" s="5">
        <v>17161.850914656217</v>
      </c>
      <c r="H28" s="6">
        <f t="shared" si="0"/>
        <v>0.76683873613298559</v>
      </c>
    </row>
    <row r="29" spans="1:8" x14ac:dyDescent="0.3">
      <c r="A29" s="7" t="s">
        <v>29</v>
      </c>
      <c r="B29" s="7" t="s">
        <v>33</v>
      </c>
      <c r="C29" s="7" t="s">
        <v>34</v>
      </c>
      <c r="D29" s="4" t="s">
        <v>10</v>
      </c>
      <c r="E29" s="5">
        <v>24500</v>
      </c>
      <c r="F29" s="5">
        <v>9043.1508095359768</v>
      </c>
      <c r="G29" s="5">
        <v>15456.849190464023</v>
      </c>
      <c r="H29" s="6">
        <f t="shared" si="0"/>
        <v>0.63089180369240916</v>
      </c>
    </row>
    <row r="30" spans="1:8" x14ac:dyDescent="0.3">
      <c r="A30" s="7" t="s">
        <v>29</v>
      </c>
      <c r="B30" s="7" t="s">
        <v>33</v>
      </c>
      <c r="C30" s="7" t="s">
        <v>34</v>
      </c>
      <c r="D30" s="4" t="s">
        <v>11</v>
      </c>
      <c r="E30" s="5">
        <v>25969.429999999997</v>
      </c>
      <c r="F30" s="5">
        <v>11313.750934142752</v>
      </c>
      <c r="G30" s="5">
        <v>14655.679065857244</v>
      </c>
      <c r="H30" s="6">
        <f t="shared" si="0"/>
        <v>0.56434350179642934</v>
      </c>
    </row>
    <row r="31" spans="1:8" x14ac:dyDescent="0.3">
      <c r="A31" s="7" t="s">
        <v>29</v>
      </c>
      <c r="B31" s="7" t="s">
        <v>33</v>
      </c>
      <c r="C31" s="7" t="s">
        <v>35</v>
      </c>
      <c r="D31" s="4" t="s">
        <v>12</v>
      </c>
      <c r="E31" s="5">
        <v>23893.24</v>
      </c>
      <c r="F31" s="5">
        <v>10557.649351890117</v>
      </c>
      <c r="G31" s="5">
        <v>13335.590648109885</v>
      </c>
      <c r="H31" s="6">
        <f t="shared" si="0"/>
        <v>0.55813236916005882</v>
      </c>
    </row>
    <row r="32" spans="1:8" x14ac:dyDescent="0.3">
      <c r="A32" s="7" t="s">
        <v>29</v>
      </c>
      <c r="B32" s="7" t="s">
        <v>33</v>
      </c>
      <c r="C32" s="7" t="s">
        <v>35</v>
      </c>
      <c r="D32" s="4" t="s">
        <v>13</v>
      </c>
      <c r="E32" s="5">
        <v>14738</v>
      </c>
      <c r="F32" s="5">
        <v>2781.6634143009924</v>
      </c>
      <c r="G32" s="5">
        <v>11956.336585699008</v>
      </c>
      <c r="H32" s="6">
        <f t="shared" si="0"/>
        <v>0.8112590979575931</v>
      </c>
    </row>
    <row r="33" spans="1:8" x14ac:dyDescent="0.3">
      <c r="A33" s="7" t="s">
        <v>29</v>
      </c>
      <c r="B33" s="7" t="s">
        <v>33</v>
      </c>
      <c r="C33" s="7" t="s">
        <v>35</v>
      </c>
      <c r="D33" s="4" t="s">
        <v>37</v>
      </c>
      <c r="E33" s="5">
        <v>16266</v>
      </c>
      <c r="F33" s="5">
        <v>5272.908119153597</v>
      </c>
      <c r="G33" s="5">
        <v>10993.091880846403</v>
      </c>
      <c r="H33" s="6">
        <f t="shared" si="0"/>
        <v>0.67583252679493444</v>
      </c>
    </row>
    <row r="34" spans="1:8" x14ac:dyDescent="0.3">
      <c r="A34" s="7" t="s">
        <v>29</v>
      </c>
      <c r="B34" s="7" t="s">
        <v>33</v>
      </c>
      <c r="C34" s="7" t="s">
        <v>34</v>
      </c>
      <c r="D34" s="4" t="s">
        <v>15</v>
      </c>
      <c r="E34" s="5">
        <v>23548</v>
      </c>
      <c r="F34" s="5">
        <v>14632.11520669486</v>
      </c>
      <c r="G34" s="5">
        <v>8915.8847933051402</v>
      </c>
      <c r="H34" s="6">
        <f t="shared" si="0"/>
        <v>0.37862598918401308</v>
      </c>
    </row>
    <row r="35" spans="1:8" x14ac:dyDescent="0.3">
      <c r="A35" s="7" t="s">
        <v>29</v>
      </c>
      <c r="B35" s="7" t="s">
        <v>33</v>
      </c>
      <c r="C35" s="7" t="s">
        <v>35</v>
      </c>
      <c r="D35" s="4" t="s">
        <v>20</v>
      </c>
      <c r="E35" s="5">
        <v>9473.0700000000015</v>
      </c>
      <c r="F35" s="5">
        <v>3354.0350244804436</v>
      </c>
      <c r="G35" s="5">
        <v>6119.0349755195584</v>
      </c>
      <c r="H35" s="6">
        <f t="shared" si="0"/>
        <v>0.64594001474913176</v>
      </c>
    </row>
    <row r="36" spans="1:8" x14ac:dyDescent="0.3">
      <c r="A36" s="7" t="s">
        <v>29</v>
      </c>
      <c r="B36" s="7" t="s">
        <v>33</v>
      </c>
      <c r="C36" s="7" t="s">
        <v>34</v>
      </c>
      <c r="D36" s="4" t="s">
        <v>16</v>
      </c>
      <c r="E36" s="5">
        <v>8262</v>
      </c>
      <c r="F36" s="5">
        <v>2618.3095291109657</v>
      </c>
      <c r="G36" s="5">
        <v>5643.6904708890343</v>
      </c>
      <c r="H36" s="6">
        <f t="shared" si="0"/>
        <v>0.68309010782970636</v>
      </c>
    </row>
    <row r="37" spans="1:8" x14ac:dyDescent="0.3">
      <c r="A37" s="7" t="s">
        <v>29</v>
      </c>
      <c r="B37" s="7" t="s">
        <v>33</v>
      </c>
      <c r="C37" s="7" t="s">
        <v>36</v>
      </c>
      <c r="D37" s="4" t="s">
        <v>18</v>
      </c>
      <c r="E37" s="5">
        <v>12382.608</v>
      </c>
      <c r="F37" s="5">
        <v>6792.734522123259</v>
      </c>
      <c r="G37" s="5">
        <v>5589.8734778767412</v>
      </c>
      <c r="H37" s="6">
        <f t="shared" si="0"/>
        <v>0.45142941437512524</v>
      </c>
    </row>
    <row r="38" spans="1:8" x14ac:dyDescent="0.3">
      <c r="A38" s="7" t="s">
        <v>29</v>
      </c>
      <c r="B38" s="7" t="s">
        <v>33</v>
      </c>
      <c r="C38" s="7" t="s">
        <v>34</v>
      </c>
      <c r="D38" s="4" t="s">
        <v>19</v>
      </c>
      <c r="E38" s="5">
        <v>4550</v>
      </c>
      <c r="F38" s="5">
        <v>1066.208681971407</v>
      </c>
      <c r="G38" s="5">
        <v>3483.7913180285932</v>
      </c>
      <c r="H38" s="6">
        <f t="shared" si="0"/>
        <v>0.76566842154474579</v>
      </c>
    </row>
    <row r="39" spans="1:8" x14ac:dyDescent="0.3">
      <c r="A39" s="7" t="s">
        <v>29</v>
      </c>
      <c r="B39" s="7" t="s">
        <v>33</v>
      </c>
      <c r="C39" s="7" t="s">
        <v>35</v>
      </c>
      <c r="D39" s="4" t="s">
        <v>14</v>
      </c>
      <c r="E39" s="5">
        <v>12416.79</v>
      </c>
      <c r="F39" s="5">
        <v>9416.2746807508083</v>
      </c>
      <c r="G39" s="5">
        <v>3000.5153192491925</v>
      </c>
      <c r="H39" s="6">
        <f t="shared" si="0"/>
        <v>0.24164984019615313</v>
      </c>
    </row>
    <row r="40" spans="1:8" x14ac:dyDescent="0.3">
      <c r="A40" s="7" t="s">
        <v>29</v>
      </c>
      <c r="B40" s="7" t="s">
        <v>33</v>
      </c>
      <c r="C40" s="7" t="s">
        <v>34</v>
      </c>
      <c r="D40" s="4" t="s">
        <v>21</v>
      </c>
      <c r="E40" s="5">
        <v>2231</v>
      </c>
      <c r="F40" s="5">
        <v>532.9475976875184</v>
      </c>
      <c r="G40" s="5">
        <v>1698.0524023124817</v>
      </c>
      <c r="H40" s="6">
        <f t="shared" si="0"/>
        <v>0.76111716822612363</v>
      </c>
    </row>
    <row r="41" spans="1:8" x14ac:dyDescent="0.3">
      <c r="A41" s="7" t="s">
        <v>29</v>
      </c>
      <c r="B41" s="7" t="s">
        <v>33</v>
      </c>
      <c r="C41" s="7" t="s">
        <v>35</v>
      </c>
      <c r="D41" s="4" t="s">
        <v>22</v>
      </c>
      <c r="E41" s="5">
        <v>4070.82</v>
      </c>
      <c r="F41" s="5">
        <v>2593.198776488874</v>
      </c>
      <c r="G41" s="5">
        <v>1477.6212235111261</v>
      </c>
      <c r="H41" s="6">
        <f t="shared" si="0"/>
        <v>0.36297876681138591</v>
      </c>
    </row>
    <row r="42" spans="1:8" x14ac:dyDescent="0.3">
      <c r="A42" s="7" t="s">
        <v>29</v>
      </c>
      <c r="B42" s="7" t="s">
        <v>33</v>
      </c>
      <c r="C42" s="7" t="s">
        <v>35</v>
      </c>
      <c r="D42" s="4" t="s">
        <v>23</v>
      </c>
      <c r="E42" s="5">
        <v>2432.27</v>
      </c>
      <c r="F42" s="5">
        <v>1966.0246815331377</v>
      </c>
      <c r="G42" s="5">
        <v>466.24531846686227</v>
      </c>
      <c r="H42" s="6">
        <f t="shared" si="0"/>
        <v>0.19169143165309044</v>
      </c>
    </row>
    <row r="43" spans="1:8" x14ac:dyDescent="0.3">
      <c r="A43" s="7" t="s">
        <v>29</v>
      </c>
      <c r="B43" s="7" t="s">
        <v>33</v>
      </c>
      <c r="C43" s="7" t="s">
        <v>36</v>
      </c>
      <c r="D43" s="4" t="s">
        <v>24</v>
      </c>
      <c r="E43" s="5">
        <v>466.24</v>
      </c>
      <c r="F43" s="5">
        <v>1.2516893758915579</v>
      </c>
      <c r="G43" s="5">
        <v>464.98831062410846</v>
      </c>
      <c r="H43" s="6">
        <f t="shared" si="0"/>
        <v>0.9973153539466979</v>
      </c>
    </row>
    <row r="44" spans="1:8" x14ac:dyDescent="0.3">
      <c r="A44" s="7" t="s">
        <v>29</v>
      </c>
      <c r="B44" s="7" t="s">
        <v>33</v>
      </c>
      <c r="C44" s="7" t="s">
        <v>36</v>
      </c>
      <c r="D44" s="4" t="s">
        <v>26</v>
      </c>
      <c r="E44" s="5">
        <v>9327.98</v>
      </c>
      <c r="F44" s="5">
        <v>9240.4659904953114</v>
      </c>
      <c r="G44" s="5">
        <v>87.514009504688147</v>
      </c>
      <c r="H44" s="6">
        <f t="shared" si="0"/>
        <v>9.3818821979344026E-3</v>
      </c>
    </row>
    <row r="45" spans="1:8" x14ac:dyDescent="0.3">
      <c r="A45" s="7" t="s">
        <v>30</v>
      </c>
      <c r="B45" s="7" t="s">
        <v>33</v>
      </c>
      <c r="C45" s="7" t="s">
        <v>34</v>
      </c>
      <c r="D45" s="4" t="s">
        <v>5</v>
      </c>
      <c r="E45" s="5">
        <v>489661</v>
      </c>
      <c r="F45" s="5">
        <v>195322.46000213502</v>
      </c>
      <c r="G45" s="5">
        <v>294338.53999786498</v>
      </c>
      <c r="H45" s="6">
        <f t="shared" si="0"/>
        <v>0.60110676569680854</v>
      </c>
    </row>
    <row r="46" spans="1:8" x14ac:dyDescent="0.3">
      <c r="A46" s="7" t="s">
        <v>30</v>
      </c>
      <c r="B46" s="7" t="s">
        <v>33</v>
      </c>
      <c r="C46" s="7" t="s">
        <v>35</v>
      </c>
      <c r="D46" s="4" t="s">
        <v>6</v>
      </c>
      <c r="E46" s="5">
        <v>132127.427945</v>
      </c>
      <c r="F46" s="5">
        <v>47357.742392906046</v>
      </c>
      <c r="G46" s="5">
        <v>84769.685552093957</v>
      </c>
      <c r="H46" s="6">
        <f t="shared" si="0"/>
        <v>0.64157523438192254</v>
      </c>
    </row>
    <row r="47" spans="1:8" x14ac:dyDescent="0.3">
      <c r="A47" s="7" t="s">
        <v>30</v>
      </c>
      <c r="B47" s="7" t="s">
        <v>33</v>
      </c>
      <c r="C47" s="7" t="s">
        <v>34</v>
      </c>
      <c r="D47" s="4" t="s">
        <v>7</v>
      </c>
      <c r="E47" s="5">
        <v>88545</v>
      </c>
      <c r="F47" s="5">
        <v>49243.807346280068</v>
      </c>
      <c r="G47" s="5">
        <v>39301.192653719932</v>
      </c>
      <c r="H47" s="6">
        <f t="shared" si="0"/>
        <v>0.44385558364357031</v>
      </c>
    </row>
    <row r="48" spans="1:8" x14ac:dyDescent="0.3">
      <c r="A48" s="7" t="s">
        <v>30</v>
      </c>
      <c r="B48" s="7" t="s">
        <v>33</v>
      </c>
      <c r="C48" s="7" t="s">
        <v>34</v>
      </c>
      <c r="D48" s="4" t="s">
        <v>8</v>
      </c>
      <c r="E48" s="5">
        <v>68957.899999999994</v>
      </c>
      <c r="F48" s="5">
        <v>42993.634949814485</v>
      </c>
      <c r="G48" s="5">
        <v>25964.26505018551</v>
      </c>
      <c r="H48" s="6">
        <f t="shared" si="0"/>
        <v>0.37652343024056001</v>
      </c>
    </row>
    <row r="49" spans="1:8" x14ac:dyDescent="0.3">
      <c r="A49" s="7" t="s">
        <v>30</v>
      </c>
      <c r="B49" s="7" t="s">
        <v>33</v>
      </c>
      <c r="C49" s="7" t="s">
        <v>35</v>
      </c>
      <c r="D49" s="4" t="s">
        <v>12</v>
      </c>
      <c r="E49" s="5">
        <v>25556.720000000001</v>
      </c>
      <c r="F49" s="5">
        <v>10541.906077714988</v>
      </c>
      <c r="G49" s="5">
        <v>15014.813922285013</v>
      </c>
      <c r="H49" s="6">
        <f t="shared" si="0"/>
        <v>0.58750942696421971</v>
      </c>
    </row>
    <row r="50" spans="1:8" x14ac:dyDescent="0.3">
      <c r="A50" s="7" t="s">
        <v>30</v>
      </c>
      <c r="B50" s="7" t="s">
        <v>33</v>
      </c>
      <c r="C50" s="7" t="s">
        <v>34</v>
      </c>
      <c r="D50" s="4" t="s">
        <v>10</v>
      </c>
      <c r="E50" s="5">
        <v>22700</v>
      </c>
      <c r="F50" s="5">
        <v>8445.7878939462444</v>
      </c>
      <c r="G50" s="5">
        <v>14254.212106053756</v>
      </c>
      <c r="H50" s="6">
        <f t="shared" si="0"/>
        <v>0.62793885929752224</v>
      </c>
    </row>
    <row r="51" spans="1:8" x14ac:dyDescent="0.3">
      <c r="A51" s="7" t="s">
        <v>30</v>
      </c>
      <c r="B51" s="7" t="s">
        <v>33</v>
      </c>
      <c r="C51" s="7" t="s">
        <v>35</v>
      </c>
      <c r="D51" s="4" t="s">
        <v>13</v>
      </c>
      <c r="E51" s="5">
        <v>16574.000000000004</v>
      </c>
      <c r="F51" s="5">
        <v>2540.8406198381485</v>
      </c>
      <c r="G51" s="5">
        <v>14033.159380161855</v>
      </c>
      <c r="H51" s="6">
        <f t="shared" si="0"/>
        <v>0.84669719923747144</v>
      </c>
    </row>
    <row r="52" spans="1:8" x14ac:dyDescent="0.3">
      <c r="A52" s="7" t="s">
        <v>30</v>
      </c>
      <c r="B52" s="7" t="s">
        <v>33</v>
      </c>
      <c r="C52" s="7" t="s">
        <v>34</v>
      </c>
      <c r="D52" s="4" t="s">
        <v>11</v>
      </c>
      <c r="E52" s="5">
        <v>23623.779999999995</v>
      </c>
      <c r="F52" s="5">
        <v>10474.894719815917</v>
      </c>
      <c r="G52" s="5">
        <v>13148.885280184079</v>
      </c>
      <c r="H52" s="6">
        <f t="shared" si="0"/>
        <v>0.55659531540608997</v>
      </c>
    </row>
    <row r="53" spans="1:8" x14ac:dyDescent="0.3">
      <c r="A53" s="7" t="s">
        <v>30</v>
      </c>
      <c r="B53" s="7" t="s">
        <v>33</v>
      </c>
      <c r="C53" s="7" t="s">
        <v>34</v>
      </c>
      <c r="D53" s="4" t="s">
        <v>16</v>
      </c>
      <c r="E53" s="5">
        <v>15962</v>
      </c>
      <c r="F53" s="5">
        <v>3256.1385406220611</v>
      </c>
      <c r="G53" s="5">
        <v>12705.861459377938</v>
      </c>
      <c r="H53" s="6">
        <f t="shared" si="0"/>
        <v>0.79600685749767819</v>
      </c>
    </row>
    <row r="54" spans="1:8" x14ac:dyDescent="0.3">
      <c r="A54" s="7" t="s">
        <v>30</v>
      </c>
      <c r="B54" s="7" t="s">
        <v>33</v>
      </c>
      <c r="C54" s="7" t="s">
        <v>34</v>
      </c>
      <c r="D54" s="4" t="s">
        <v>15</v>
      </c>
      <c r="E54" s="5">
        <v>30553.25</v>
      </c>
      <c r="F54" s="5">
        <v>19913.267514729057</v>
      </c>
      <c r="G54" s="5">
        <v>10639.982485270943</v>
      </c>
      <c r="H54" s="6">
        <f t="shared" si="0"/>
        <v>0.34824388519293176</v>
      </c>
    </row>
    <row r="55" spans="1:8" x14ac:dyDescent="0.3">
      <c r="A55" s="7" t="s">
        <v>30</v>
      </c>
      <c r="B55" s="7" t="s">
        <v>33</v>
      </c>
      <c r="C55" s="7" t="s">
        <v>35</v>
      </c>
      <c r="D55" s="4" t="s">
        <v>37</v>
      </c>
      <c r="E55" s="5">
        <v>8916</v>
      </c>
      <c r="F55" s="5">
        <v>3306.4542820902661</v>
      </c>
      <c r="G55" s="5">
        <v>5609.5457179097339</v>
      </c>
      <c r="H55" s="6">
        <f t="shared" si="0"/>
        <v>0.62915497060450132</v>
      </c>
    </row>
    <row r="56" spans="1:8" x14ac:dyDescent="0.3">
      <c r="A56" s="7" t="s">
        <v>30</v>
      </c>
      <c r="B56" s="7" t="s">
        <v>33</v>
      </c>
      <c r="C56" s="7" t="s">
        <v>36</v>
      </c>
      <c r="D56" s="4" t="s">
        <v>9</v>
      </c>
      <c r="E56" s="5">
        <v>10892.7</v>
      </c>
      <c r="F56" s="5">
        <v>5617.190947839752</v>
      </c>
      <c r="G56" s="5">
        <v>5275.5090521602488</v>
      </c>
      <c r="H56" s="6">
        <f t="shared" si="0"/>
        <v>0.4843160145932825</v>
      </c>
    </row>
    <row r="57" spans="1:8" x14ac:dyDescent="0.3">
      <c r="A57" s="7" t="s">
        <v>30</v>
      </c>
      <c r="B57" s="7" t="s">
        <v>33</v>
      </c>
      <c r="C57" s="7" t="s">
        <v>36</v>
      </c>
      <c r="D57" s="4" t="s">
        <v>18</v>
      </c>
      <c r="E57" s="5">
        <v>10110.07</v>
      </c>
      <c r="F57" s="5">
        <v>4939.550457280001</v>
      </c>
      <c r="G57" s="5">
        <v>5170.5195427199988</v>
      </c>
      <c r="H57" s="6">
        <f t="shared" si="0"/>
        <v>0.51142272434513303</v>
      </c>
    </row>
    <row r="58" spans="1:8" x14ac:dyDescent="0.3">
      <c r="A58" s="7" t="s">
        <v>30</v>
      </c>
      <c r="B58" s="7" t="s">
        <v>33</v>
      </c>
      <c r="C58" s="7" t="s">
        <v>35</v>
      </c>
      <c r="D58" s="4" t="s">
        <v>14</v>
      </c>
      <c r="E58" s="5">
        <v>12310.098387600001</v>
      </c>
      <c r="F58" s="5">
        <v>7151.4146106478265</v>
      </c>
      <c r="G58" s="5">
        <v>5158.6837769521744</v>
      </c>
      <c r="H58" s="6">
        <f t="shared" si="0"/>
        <v>0.41906113294338349</v>
      </c>
    </row>
    <row r="59" spans="1:8" x14ac:dyDescent="0.3">
      <c r="A59" s="7" t="s">
        <v>30</v>
      </c>
      <c r="B59" s="7" t="s">
        <v>33</v>
      </c>
      <c r="C59" s="7" t="s">
        <v>34</v>
      </c>
      <c r="D59" s="4" t="s">
        <v>19</v>
      </c>
      <c r="E59" s="5">
        <v>4550</v>
      </c>
      <c r="F59" s="5">
        <v>1073.6484240933801</v>
      </c>
      <c r="G59" s="5">
        <v>3476.3515759066199</v>
      </c>
      <c r="H59" s="6">
        <f t="shared" si="0"/>
        <v>0.76403331338607028</v>
      </c>
    </row>
    <row r="60" spans="1:8" x14ac:dyDescent="0.3">
      <c r="A60" s="7" t="s">
        <v>30</v>
      </c>
      <c r="B60" s="7" t="s">
        <v>33</v>
      </c>
      <c r="C60" s="7" t="s">
        <v>35</v>
      </c>
      <c r="D60" s="4" t="s">
        <v>20</v>
      </c>
      <c r="E60" s="5">
        <v>5683.9310600000008</v>
      </c>
      <c r="F60" s="5">
        <v>2927.7486419957954</v>
      </c>
      <c r="G60" s="5">
        <v>2756.1824180042054</v>
      </c>
      <c r="H60" s="6">
        <f t="shared" si="0"/>
        <v>0.48490778457897149</v>
      </c>
    </row>
    <row r="61" spans="1:8" x14ac:dyDescent="0.3">
      <c r="A61" s="7" t="s">
        <v>30</v>
      </c>
      <c r="B61" s="7" t="s">
        <v>33</v>
      </c>
      <c r="C61" s="7" t="s">
        <v>36</v>
      </c>
      <c r="D61" s="4" t="s">
        <v>26</v>
      </c>
      <c r="E61" s="5">
        <v>10188.415999999999</v>
      </c>
      <c r="F61" s="5">
        <v>8013.8299279933226</v>
      </c>
      <c r="G61" s="5">
        <v>2174.5860720066767</v>
      </c>
      <c r="H61" s="6">
        <f t="shared" si="0"/>
        <v>0.21343711053874095</v>
      </c>
    </row>
    <row r="62" spans="1:8" x14ac:dyDescent="0.3">
      <c r="A62" s="7" t="s">
        <v>30</v>
      </c>
      <c r="B62" s="7" t="s">
        <v>33</v>
      </c>
      <c r="C62" s="7" t="s">
        <v>35</v>
      </c>
      <c r="D62" s="4" t="s">
        <v>22</v>
      </c>
      <c r="E62" s="5">
        <v>4886.2387199999994</v>
      </c>
      <c r="F62" s="5">
        <v>3108.2685157812639</v>
      </c>
      <c r="G62" s="5">
        <v>1777.9702042187355</v>
      </c>
      <c r="H62" s="6">
        <f t="shared" si="0"/>
        <v>0.36387297185077683</v>
      </c>
    </row>
    <row r="63" spans="1:8" x14ac:dyDescent="0.3">
      <c r="A63" s="7" t="s">
        <v>30</v>
      </c>
      <c r="B63" s="7" t="s">
        <v>33</v>
      </c>
      <c r="C63" s="7" t="s">
        <v>34</v>
      </c>
      <c r="D63" s="4" t="s">
        <v>21</v>
      </c>
      <c r="E63" s="5">
        <v>2231</v>
      </c>
      <c r="F63" s="5">
        <v>548.64842409338007</v>
      </c>
      <c r="G63" s="5">
        <v>1682.3515759066199</v>
      </c>
      <c r="H63" s="6">
        <f t="shared" si="0"/>
        <v>0.75407959475868214</v>
      </c>
    </row>
    <row r="64" spans="1:8" x14ac:dyDescent="0.3">
      <c r="A64" s="7" t="s">
        <v>30</v>
      </c>
      <c r="B64" s="7" t="s">
        <v>33</v>
      </c>
      <c r="C64" s="7" t="s">
        <v>35</v>
      </c>
      <c r="D64" s="4" t="s">
        <v>23</v>
      </c>
      <c r="E64" s="5">
        <v>2404.5348900000004</v>
      </c>
      <c r="F64" s="5">
        <v>1552.5966830952113</v>
      </c>
      <c r="G64" s="5">
        <v>851.93820690478901</v>
      </c>
      <c r="H64" s="6">
        <f t="shared" si="0"/>
        <v>0.35430478070741944</v>
      </c>
    </row>
    <row r="65" spans="1:8" x14ac:dyDescent="0.3">
      <c r="A65" s="7" t="s">
        <v>30</v>
      </c>
      <c r="B65" s="7" t="s">
        <v>33</v>
      </c>
      <c r="C65" s="7" t="s">
        <v>34</v>
      </c>
      <c r="D65" s="4" t="s">
        <v>25</v>
      </c>
      <c r="E65" s="5">
        <v>1700</v>
      </c>
      <c r="F65" s="5">
        <v>1064.2215444039246</v>
      </c>
      <c r="G65" s="5">
        <v>635.77845559607545</v>
      </c>
      <c r="H65" s="6">
        <f t="shared" si="0"/>
        <v>0.37398732682122088</v>
      </c>
    </row>
    <row r="66" spans="1:8" x14ac:dyDescent="0.3">
      <c r="A66" s="7" t="s">
        <v>30</v>
      </c>
      <c r="B66" s="7" t="s">
        <v>33</v>
      </c>
      <c r="C66" s="7" t="s">
        <v>36</v>
      </c>
      <c r="D66" s="4" t="s">
        <v>24</v>
      </c>
      <c r="E66" s="5">
        <v>456.65935999999999</v>
      </c>
      <c r="F66" s="5">
        <v>10.548731720763964</v>
      </c>
      <c r="G66" s="5">
        <v>446.11062827923604</v>
      </c>
      <c r="H66" s="6">
        <f t="shared" si="0"/>
        <v>0.97690021787626569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Sathyanarayana Nadsar</dc:creator>
  <cp:lastModifiedBy>Sathyanarayana Nadsar</cp:lastModifiedBy>
  <dcterms:created xsi:type="dcterms:W3CDTF">2026-04-30T13:31:17Z</dcterms:created>
  <dcterms:modified xsi:type="dcterms:W3CDTF">2026-05-03T11:16:47Z</dcterms:modified>
</cp:coreProperties>
</file>